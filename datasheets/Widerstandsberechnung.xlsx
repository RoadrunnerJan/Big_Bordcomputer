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eien/Projekte/Autodisplay/"/>
    </mc:Choice>
  </mc:AlternateContent>
  <xr:revisionPtr revIDLastSave="0" documentId="13_ncr:1_{374F83DB-A20A-5443-BF55-CF67C46A00F7}" xr6:coauthVersionLast="47" xr6:coauthVersionMax="47" xr10:uidLastSave="{00000000-0000-0000-0000-000000000000}"/>
  <bookViews>
    <workbookView xWindow="900" yWindow="720" windowWidth="28000" windowHeight="17900" xr2:uid="{8BDB919B-8C8D-4767-B63C-EE8684844E98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C31" i="1"/>
  <c r="D31" i="1"/>
  <c r="E31" i="1"/>
  <c r="F31" i="1"/>
  <c r="G31" i="1"/>
  <c r="H31" i="1"/>
  <c r="I31" i="1"/>
  <c r="J31" i="1"/>
  <c r="K31" i="1"/>
  <c r="L31" i="1"/>
  <c r="B41" i="1"/>
  <c r="B36" i="1"/>
  <c r="B31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C25" i="1"/>
  <c r="D25" i="1"/>
  <c r="E25" i="1"/>
  <c r="F25" i="1"/>
  <c r="G25" i="1"/>
  <c r="H25" i="1"/>
  <c r="I25" i="1"/>
  <c r="J25" i="1"/>
  <c r="K25" i="1"/>
  <c r="L25" i="1"/>
  <c r="M25" i="1"/>
  <c r="B25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C40" i="1"/>
  <c r="D40" i="1"/>
  <c r="E40" i="1"/>
  <c r="F40" i="1"/>
  <c r="G40" i="1"/>
  <c r="H40" i="1"/>
  <c r="I40" i="1"/>
  <c r="J40" i="1"/>
  <c r="K40" i="1"/>
  <c r="L40" i="1"/>
  <c r="B40" i="1"/>
  <c r="I6" i="1"/>
  <c r="C30" i="1"/>
  <c r="D30" i="1"/>
  <c r="E30" i="1"/>
  <c r="F30" i="1"/>
  <c r="G30" i="1"/>
  <c r="H30" i="1"/>
  <c r="I30" i="1"/>
  <c r="J30" i="1"/>
  <c r="K30" i="1"/>
  <c r="L30" i="1"/>
  <c r="E15" i="1"/>
  <c r="F15" i="1"/>
  <c r="A7" i="2"/>
  <c r="A8" i="2" s="1"/>
  <c r="A5" i="2"/>
  <c r="A6" i="2" s="1"/>
  <c r="A4" i="2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B35" i="1"/>
  <c r="C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B24" i="1"/>
  <c r="N13" i="1"/>
  <c r="L6" i="1"/>
  <c r="C6" i="1"/>
  <c r="F6" i="1"/>
  <c r="E6" i="1"/>
  <c r="B6" i="1"/>
  <c r="I24" i="1" l="1"/>
  <c r="H24" i="1"/>
  <c r="G24" i="1"/>
  <c r="F24" i="1"/>
  <c r="E24" i="1"/>
  <c r="D24" i="1"/>
  <c r="D6" i="1"/>
  <c r="G6" i="1"/>
  <c r="C15" i="1"/>
  <c r="D15" i="1" s="1"/>
  <c r="G15" i="1"/>
</calcChain>
</file>

<file path=xl/sharedStrings.xml><?xml version="1.0" encoding="utf-8"?>
<sst xmlns="http://schemas.openxmlformats.org/spreadsheetml/2006/main" count="55" uniqueCount="34">
  <si>
    <t>Vout</t>
  </si>
  <si>
    <t>Vin</t>
  </si>
  <si>
    <t>R_Stat (1)</t>
  </si>
  <si>
    <t>R_Ther (2)</t>
  </si>
  <si>
    <t>Temp_min</t>
  </si>
  <si>
    <t>Temp_max</t>
  </si>
  <si>
    <t>Druck_min</t>
  </si>
  <si>
    <t>Druck_max</t>
  </si>
  <si>
    <t>Temp_Diff</t>
  </si>
  <si>
    <t>Druck_Diff</t>
  </si>
  <si>
    <t>Beleuchtung_min</t>
  </si>
  <si>
    <t>Beleuchtung_max</t>
  </si>
  <si>
    <t>Beleuchtung_Diff</t>
  </si>
  <si>
    <t>Spannung_min</t>
  </si>
  <si>
    <t>Spannung_max</t>
  </si>
  <si>
    <t>Spannung_Diff</t>
  </si>
  <si>
    <t>R_2</t>
  </si>
  <si>
    <t>R_1</t>
  </si>
  <si>
    <t>ADC Schrittweite</t>
  </si>
  <si>
    <t>ch_temperature</t>
  </si>
  <si>
    <t>Temp</t>
  </si>
  <si>
    <t>R</t>
  </si>
  <si>
    <t>V_result</t>
  </si>
  <si>
    <t>ch_pressure</t>
  </si>
  <si>
    <t>bar</t>
  </si>
  <si>
    <t>ch_voltage</t>
  </si>
  <si>
    <t>V_in</t>
  </si>
  <si>
    <t>Werte Temperatur</t>
  </si>
  <si>
    <t>ADC</t>
  </si>
  <si>
    <t>Spannung</t>
  </si>
  <si>
    <t>ch_ambi</t>
  </si>
  <si>
    <t>ADC Wert</t>
  </si>
  <si>
    <t>ADC Max</t>
  </si>
  <si>
    <t>ADC Max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</si>
</sst>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rgb="FFF39C12"/>
      <name val="Consolas"/>
      <family val="3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63E4-2191-4F6B-8940-94D938D009CF}">
  <dimension ref="A3:AO41"/>
  <sheetViews>
    <sheetView tabSelected="1" topLeftCell="A12" zoomScale="120" zoomScaleNormal="120" workbookViewId="0">
      <selection activeCell="C40" sqref="C40"/>
    </sheetView>
  </sheetViews>
  <sheetFormatPr baseColWidth="10" defaultRowHeight="15" x14ac:dyDescent="0.2"/>
  <cols>
    <col min="8" max="9" width="16.33203125" bestFit="1" customWidth="1"/>
    <col min="10" max="10" width="16.5" customWidth="1"/>
    <col min="11" max="11" width="14.33203125" customWidth="1"/>
  </cols>
  <sheetData>
    <row r="3" spans="1:17" x14ac:dyDescent="0.2">
      <c r="A3" s="2"/>
      <c r="B3" s="2"/>
      <c r="C3" s="2"/>
      <c r="D3" s="2"/>
      <c r="E3" s="2"/>
      <c r="F3" s="2"/>
      <c r="G3" s="2"/>
      <c r="H3" s="2"/>
    </row>
    <row r="4" spans="1:17" x14ac:dyDescent="0.2">
      <c r="A4" s="2"/>
      <c r="B4" s="2" t="s">
        <v>4</v>
      </c>
      <c r="C4" s="2" t="s">
        <v>5</v>
      </c>
      <c r="D4" s="2" t="s">
        <v>8</v>
      </c>
      <c r="E4" s="2" t="s">
        <v>6</v>
      </c>
      <c r="F4" s="2" t="s">
        <v>7</v>
      </c>
      <c r="G4" s="2" t="s">
        <v>9</v>
      </c>
      <c r="H4" s="2"/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P4" t="s">
        <v>32</v>
      </c>
      <c r="Q4" t="s">
        <v>33</v>
      </c>
    </row>
    <row r="5" spans="1:17" x14ac:dyDescent="0.2">
      <c r="A5" s="2"/>
      <c r="B5" s="2"/>
      <c r="C5" s="2"/>
      <c r="D5" s="2"/>
      <c r="E5" s="2"/>
      <c r="F5" s="2"/>
      <c r="G5" s="2"/>
      <c r="H5" s="2"/>
      <c r="P5">
        <v>4096</v>
      </c>
      <c r="Q5">
        <v>3.3</v>
      </c>
    </row>
    <row r="6" spans="1:17" x14ac:dyDescent="0.2">
      <c r="A6" s="2" t="s">
        <v>0</v>
      </c>
      <c r="B6" s="2">
        <f>B7*(B9/(B8+B9))</f>
        <v>4.8848589522164652</v>
      </c>
      <c r="C6" s="2">
        <f>B7*(C9/(B8+C9))</f>
        <v>0.26633374947981686</v>
      </c>
      <c r="D6" s="2">
        <f>B6-C6</f>
        <v>4.6185252027366479</v>
      </c>
      <c r="E6" s="2">
        <f>E7*(E9/(E8+E9))</f>
        <v>0.94339622641509435</v>
      </c>
      <c r="F6" s="2">
        <f>E7*(F9/(E8+F9))</f>
        <v>4.0528634361233475</v>
      </c>
      <c r="G6" s="2">
        <f>F6-E6</f>
        <v>3.109467209708253</v>
      </c>
      <c r="H6" s="2"/>
      <c r="I6" s="6">
        <f>I7*(I9/(I9+I8))</f>
        <v>3.005235602094241</v>
      </c>
      <c r="J6" s="6"/>
      <c r="L6" s="6">
        <f>L7*(L9/(L8+L9))</f>
        <v>3.2507204610951006</v>
      </c>
      <c r="M6" s="6"/>
    </row>
    <row r="7" spans="1:17" x14ac:dyDescent="0.2">
      <c r="A7" s="2" t="s">
        <v>1</v>
      </c>
      <c r="B7" s="3">
        <v>5</v>
      </c>
      <c r="C7" s="3"/>
      <c r="D7" s="3"/>
      <c r="E7" s="3">
        <v>5</v>
      </c>
      <c r="F7" s="3"/>
      <c r="G7" s="2"/>
      <c r="H7" s="2"/>
      <c r="I7" s="6">
        <v>14</v>
      </c>
      <c r="J7" s="6"/>
      <c r="K7" s="1"/>
      <c r="L7" s="6">
        <v>24</v>
      </c>
      <c r="M7" s="6"/>
    </row>
    <row r="8" spans="1:17" x14ac:dyDescent="0.2">
      <c r="A8" s="2" t="s">
        <v>2</v>
      </c>
      <c r="B8" s="3">
        <v>182</v>
      </c>
      <c r="C8" s="3"/>
      <c r="D8" s="3"/>
      <c r="E8" s="3">
        <v>43</v>
      </c>
      <c r="F8" s="3"/>
      <c r="G8" s="2"/>
      <c r="H8" s="2" t="s">
        <v>17</v>
      </c>
      <c r="I8" s="7">
        <v>30000</v>
      </c>
      <c r="J8" s="7"/>
      <c r="K8" s="1"/>
      <c r="L8" s="7">
        <v>30000</v>
      </c>
      <c r="M8" s="7"/>
    </row>
    <row r="9" spans="1:17" x14ac:dyDescent="0.2">
      <c r="A9" s="2" t="s">
        <v>3</v>
      </c>
      <c r="B9" s="2">
        <v>7721.35</v>
      </c>
      <c r="C9" s="2">
        <v>10.24</v>
      </c>
      <c r="D9" s="2"/>
      <c r="E9" s="2">
        <v>10</v>
      </c>
      <c r="F9" s="2">
        <v>184</v>
      </c>
      <c r="G9" s="2"/>
      <c r="H9" s="2" t="s">
        <v>16</v>
      </c>
      <c r="I9">
        <v>8200</v>
      </c>
      <c r="L9">
        <v>4700</v>
      </c>
    </row>
    <row r="10" spans="1:17" x14ac:dyDescent="0.2">
      <c r="A10" s="2"/>
      <c r="B10" s="2"/>
      <c r="C10" s="2"/>
      <c r="D10" s="2"/>
      <c r="E10" s="2"/>
      <c r="F10" s="2"/>
      <c r="G10" s="2"/>
      <c r="H10" s="2"/>
    </row>
    <row r="11" spans="1:17" x14ac:dyDescent="0.2">
      <c r="A11" s="2"/>
      <c r="B11" s="2"/>
      <c r="C11" s="2"/>
      <c r="D11" s="2"/>
      <c r="E11" s="2"/>
      <c r="F11" s="2"/>
      <c r="G11" s="2"/>
      <c r="H11" s="2"/>
    </row>
    <row r="13" spans="1:17" x14ac:dyDescent="0.2">
      <c r="B13" t="s">
        <v>4</v>
      </c>
      <c r="C13" t="s">
        <v>5</v>
      </c>
      <c r="D13" t="s">
        <v>8</v>
      </c>
      <c r="E13" t="s">
        <v>6</v>
      </c>
      <c r="F13" t="s">
        <v>7</v>
      </c>
      <c r="G13" t="s">
        <v>9</v>
      </c>
      <c r="M13" t="s">
        <v>18</v>
      </c>
      <c r="N13">
        <f>3.3/4096</f>
        <v>8.0566406249999996E-4</v>
      </c>
    </row>
    <row r="15" spans="1:17" x14ac:dyDescent="0.2">
      <c r="A15" t="s">
        <v>0</v>
      </c>
      <c r="B15">
        <v>3.3</v>
      </c>
      <c r="C15">
        <f>B16/((B17/C18)+1)</f>
        <v>4.8956884561891512E-2</v>
      </c>
      <c r="D15">
        <f>B15-C15</f>
        <v>3.2510431154381081</v>
      </c>
      <c r="E15">
        <f>E16*(E18/(E17+E18))</f>
        <v>0.23529411764705882</v>
      </c>
      <c r="F15">
        <f>(F18/(E17+F18))*E16</f>
        <v>3.2280701754385963</v>
      </c>
      <c r="G15">
        <f>F15-E15</f>
        <v>2.9927760577915374</v>
      </c>
    </row>
    <row r="16" spans="1:17" x14ac:dyDescent="0.2">
      <c r="A16" t="s">
        <v>1</v>
      </c>
      <c r="B16" s="1">
        <v>3.3</v>
      </c>
      <c r="C16" s="1"/>
      <c r="D16" s="1"/>
      <c r="E16" s="8">
        <v>12</v>
      </c>
      <c r="F16" s="1"/>
    </row>
    <row r="17" spans="1:41" x14ac:dyDescent="0.2">
      <c r="A17" t="s">
        <v>2</v>
      </c>
      <c r="B17" s="7">
        <v>680</v>
      </c>
      <c r="C17" s="7"/>
      <c r="D17" s="1"/>
      <c r="E17" s="7">
        <v>500</v>
      </c>
      <c r="F17" s="7"/>
    </row>
    <row r="18" spans="1:41" x14ac:dyDescent="0.2">
      <c r="A18" t="s">
        <v>3</v>
      </c>
      <c r="B18">
        <v>7721.35</v>
      </c>
      <c r="C18">
        <v>10.24</v>
      </c>
      <c r="E18">
        <v>10</v>
      </c>
      <c r="F18">
        <v>184</v>
      </c>
    </row>
    <row r="21" spans="1:41" x14ac:dyDescent="0.2">
      <c r="A21" s="4" t="s">
        <v>19</v>
      </c>
    </row>
    <row r="22" spans="1:41" x14ac:dyDescent="0.2">
      <c r="A22" t="s">
        <v>20</v>
      </c>
      <c r="B22">
        <v>-15</v>
      </c>
      <c r="C22">
        <v>-10</v>
      </c>
      <c r="D22">
        <v>-5</v>
      </c>
      <c r="E22">
        <v>0</v>
      </c>
      <c r="F22">
        <v>5</v>
      </c>
      <c r="G22">
        <v>10</v>
      </c>
      <c r="H22">
        <v>15</v>
      </c>
      <c r="I22">
        <v>20</v>
      </c>
      <c r="J22">
        <v>25</v>
      </c>
      <c r="K22">
        <v>30</v>
      </c>
      <c r="L22">
        <v>35</v>
      </c>
      <c r="M22">
        <v>40</v>
      </c>
      <c r="N22">
        <v>45</v>
      </c>
      <c r="O22">
        <v>50</v>
      </c>
      <c r="P22">
        <v>55</v>
      </c>
      <c r="Q22">
        <v>60</v>
      </c>
      <c r="R22">
        <v>65</v>
      </c>
      <c r="S22">
        <v>70</v>
      </c>
      <c r="T22">
        <v>75</v>
      </c>
      <c r="U22">
        <v>80</v>
      </c>
      <c r="V22">
        <v>85</v>
      </c>
      <c r="W22">
        <v>90</v>
      </c>
      <c r="X22">
        <v>95</v>
      </c>
      <c r="Y22">
        <v>100</v>
      </c>
      <c r="Z22">
        <v>105</v>
      </c>
      <c r="AA22">
        <v>110</v>
      </c>
      <c r="AB22">
        <v>115</v>
      </c>
      <c r="AC22">
        <v>120</v>
      </c>
      <c r="AD22">
        <v>125</v>
      </c>
      <c r="AE22">
        <v>130</v>
      </c>
      <c r="AF22">
        <v>135</v>
      </c>
      <c r="AG22">
        <v>140</v>
      </c>
      <c r="AH22">
        <v>145</v>
      </c>
      <c r="AI22">
        <v>150</v>
      </c>
      <c r="AJ22">
        <v>155</v>
      </c>
      <c r="AK22">
        <v>160</v>
      </c>
      <c r="AL22">
        <v>165</v>
      </c>
      <c r="AM22">
        <v>170</v>
      </c>
      <c r="AN22">
        <v>175</v>
      </c>
      <c r="AO22">
        <v>180</v>
      </c>
    </row>
    <row r="23" spans="1:41" x14ac:dyDescent="0.2">
      <c r="A23" t="s">
        <v>21</v>
      </c>
      <c r="B23">
        <v>7721.35</v>
      </c>
      <c r="C23">
        <v>5720.88</v>
      </c>
      <c r="D23">
        <v>4284.03</v>
      </c>
      <c r="E23">
        <v>3240.18</v>
      </c>
      <c r="F23">
        <v>2473.6</v>
      </c>
      <c r="G23">
        <v>1905.87</v>
      </c>
      <c r="H23">
        <v>1404.44</v>
      </c>
      <c r="I23">
        <v>1168.6400000000001</v>
      </c>
      <c r="J23">
        <v>926.71</v>
      </c>
      <c r="K23">
        <v>739.98</v>
      </c>
      <c r="L23">
        <v>594.9</v>
      </c>
      <c r="M23">
        <v>481.52</v>
      </c>
      <c r="N23">
        <v>392.57</v>
      </c>
      <c r="O23">
        <v>322.17</v>
      </c>
      <c r="P23">
        <v>266.19</v>
      </c>
      <c r="Q23">
        <v>221.17</v>
      </c>
      <c r="R23">
        <v>184.72</v>
      </c>
      <c r="S23">
        <v>155.29</v>
      </c>
      <c r="T23">
        <v>131.38</v>
      </c>
      <c r="U23">
        <v>112.08</v>
      </c>
      <c r="V23">
        <v>96.4</v>
      </c>
      <c r="W23">
        <v>82.96</v>
      </c>
      <c r="X23">
        <v>71.44</v>
      </c>
      <c r="Y23">
        <v>61.92</v>
      </c>
      <c r="Z23">
        <v>54.01</v>
      </c>
      <c r="AA23">
        <v>47.24</v>
      </c>
      <c r="AB23">
        <v>41.42</v>
      </c>
      <c r="AC23">
        <v>36.51</v>
      </c>
      <c r="AD23">
        <v>32.380000000000003</v>
      </c>
      <c r="AE23">
        <v>28.81</v>
      </c>
      <c r="AF23">
        <v>25.7</v>
      </c>
      <c r="AG23">
        <v>23</v>
      </c>
      <c r="AH23">
        <v>20.66</v>
      </c>
      <c r="AI23">
        <v>18.59</v>
      </c>
      <c r="AJ23">
        <v>16.739999999999998</v>
      </c>
      <c r="AK23">
        <v>15.11</v>
      </c>
      <c r="AL23">
        <v>13.66</v>
      </c>
      <c r="AM23">
        <v>12.38</v>
      </c>
      <c r="AN23">
        <v>11.25</v>
      </c>
      <c r="AO23">
        <v>10.24</v>
      </c>
    </row>
    <row r="24" spans="1:41" x14ac:dyDescent="0.2">
      <c r="A24" s="5" t="s">
        <v>22</v>
      </c>
      <c r="B24">
        <f t="shared" ref="B24:AO24" si="0">$B$16*(B23/(B23+$B$17))</f>
        <v>3.0329000696316664</v>
      </c>
      <c r="C24">
        <f t="shared" si="0"/>
        <v>2.9494232043094071</v>
      </c>
      <c r="D24">
        <f t="shared" si="0"/>
        <v>2.8479479374621022</v>
      </c>
      <c r="E24">
        <f t="shared" si="0"/>
        <v>2.7275773051237442</v>
      </c>
      <c r="F24">
        <f t="shared" si="0"/>
        <v>2.5884322678843223</v>
      </c>
      <c r="G24">
        <f t="shared" si="0"/>
        <v>2.4322069554927355</v>
      </c>
      <c r="H24">
        <f t="shared" si="0"/>
        <v>2.2234518623707085</v>
      </c>
      <c r="I24">
        <f t="shared" si="0"/>
        <v>2.0861346719750737</v>
      </c>
      <c r="J24">
        <f t="shared" si="0"/>
        <v>1.9033571708646861</v>
      </c>
      <c r="K24">
        <f t="shared" si="0"/>
        <v>1.7196960520570712</v>
      </c>
      <c r="L24">
        <f t="shared" si="0"/>
        <v>1.5398619499568591</v>
      </c>
      <c r="M24">
        <f t="shared" si="0"/>
        <v>1.3680487636889593</v>
      </c>
      <c r="N24">
        <f t="shared" si="0"/>
        <v>1.2078288596548477</v>
      </c>
      <c r="O24">
        <f t="shared" si="0"/>
        <v>1.060858936108644</v>
      </c>
      <c r="P24">
        <f t="shared" si="0"/>
        <v>0.92838330567856342</v>
      </c>
      <c r="Q24">
        <f t="shared" si="0"/>
        <v>0.8099037917374079</v>
      </c>
      <c r="R24">
        <f t="shared" si="0"/>
        <v>0.70494032750485702</v>
      </c>
      <c r="S24">
        <f t="shared" si="0"/>
        <v>0.61350788348956653</v>
      </c>
      <c r="T24">
        <f t="shared" si="0"/>
        <v>0.53434149227242478</v>
      </c>
      <c r="U24">
        <f t="shared" si="0"/>
        <v>0.46695283304716689</v>
      </c>
      <c r="V24">
        <f t="shared" si="0"/>
        <v>0.40973724884080376</v>
      </c>
      <c r="W24">
        <f t="shared" si="0"/>
        <v>0.35882352941176465</v>
      </c>
      <c r="X24">
        <f t="shared" si="0"/>
        <v>0.31373363142765887</v>
      </c>
      <c r="Y24">
        <f t="shared" si="0"/>
        <v>0.27541513909855514</v>
      </c>
      <c r="Z24">
        <f t="shared" si="0"/>
        <v>0.24282094249397143</v>
      </c>
      <c r="AA24">
        <f t="shared" si="0"/>
        <v>0.21436114625158131</v>
      </c>
      <c r="AB24">
        <f t="shared" si="0"/>
        <v>0.18946799367913283</v>
      </c>
      <c r="AC24">
        <f t="shared" si="0"/>
        <v>0.16815257288802668</v>
      </c>
      <c r="AD24">
        <f t="shared" si="0"/>
        <v>0.14999578876442349</v>
      </c>
      <c r="AE24">
        <f t="shared" si="0"/>
        <v>0.13413044398357812</v>
      </c>
      <c r="AF24">
        <f t="shared" si="0"/>
        <v>0.12017854612441546</v>
      </c>
      <c r="AG24">
        <f t="shared" si="0"/>
        <v>0.10796586059743953</v>
      </c>
      <c r="AH24">
        <f t="shared" si="0"/>
        <v>9.7305397767818921E-2</v>
      </c>
      <c r="AI24">
        <f t="shared" si="0"/>
        <v>8.7815456848795423E-2</v>
      </c>
      <c r="AJ24">
        <f t="shared" si="0"/>
        <v>7.9286390906220389E-2</v>
      </c>
      <c r="AK24">
        <f t="shared" si="0"/>
        <v>7.1733970162995778E-2</v>
      </c>
      <c r="AL24">
        <f t="shared" si="0"/>
        <v>6.4985727878211219E-2</v>
      </c>
      <c r="AM24">
        <f t="shared" si="0"/>
        <v>5.9005170571073684E-2</v>
      </c>
      <c r="AN24">
        <f t="shared" si="0"/>
        <v>5.3707052441229655E-2</v>
      </c>
      <c r="AO24">
        <f t="shared" si="0"/>
        <v>4.8956884561891512E-2</v>
      </c>
    </row>
    <row r="25" spans="1:41" x14ac:dyDescent="0.2">
      <c r="A25" t="s">
        <v>31</v>
      </c>
      <c r="B25">
        <f>$P$5*(B24/$Q$5)</f>
        <v>3764.4723288519108</v>
      </c>
      <c r="C25">
        <f t="shared" ref="C25:N25" si="1">$P$5*(C24/$Q$5)</f>
        <v>3660.8598317731307</v>
      </c>
      <c r="D25">
        <f t="shared" si="1"/>
        <v>3534.9075005590216</v>
      </c>
      <c r="E25">
        <f t="shared" si="1"/>
        <v>3385.5020126626837</v>
      </c>
      <c r="F25">
        <f t="shared" si="1"/>
        <v>3212.7935058346015</v>
      </c>
      <c r="G25">
        <f t="shared" si="1"/>
        <v>3018.8847544540135</v>
      </c>
      <c r="H25">
        <f t="shared" si="1"/>
        <v>2759.7754025061886</v>
      </c>
      <c r="I25">
        <f t="shared" si="1"/>
        <v>2589.335641336334</v>
      </c>
      <c r="J25">
        <f t="shared" si="1"/>
        <v>2362.4699914732591</v>
      </c>
      <c r="K25">
        <f t="shared" si="1"/>
        <v>2134.5075846138679</v>
      </c>
      <c r="L25">
        <f t="shared" si="1"/>
        <v>1911.2953172797863</v>
      </c>
      <c r="M25">
        <f t="shared" si="1"/>
        <v>1698.0387078999931</v>
      </c>
      <c r="N25">
        <f t="shared" si="1"/>
        <v>1499.171820953411</v>
      </c>
      <c r="O25">
        <f t="shared" ref="O25" si="2">$P$5*(O24/$Q$5)</f>
        <v>1316.7509703942442</v>
      </c>
      <c r="P25">
        <f t="shared" ref="P25" si="3">$P$5*(P24/$Q$5)</f>
        <v>1152.3206121392109</v>
      </c>
      <c r="Q25">
        <f t="shared" ref="Q25" si="4">$P$5*(Q24/$Q$5)</f>
        <v>1005.2624033201282</v>
      </c>
      <c r="R25">
        <f t="shared" ref="R25" si="5">$P$5*(R24/$Q$5)</f>
        <v>874.98047923027104</v>
      </c>
      <c r="S25">
        <f t="shared" ref="S25" si="6">$P$5*(S24/$Q$5)</f>
        <v>761.49342144644379</v>
      </c>
      <c r="T25">
        <f t="shared" ref="T25" si="7">$P$5*(T24/$Q$5)</f>
        <v>663.23113707510663</v>
      </c>
      <c r="U25">
        <f t="shared" ref="U25" si="8">$P$5*(U24/$Q$5)</f>
        <v>579.58751641248352</v>
      </c>
      <c r="V25">
        <f t="shared" ref="V25" si="9">$P$5*(V24/$Q$5)</f>
        <v>508.5708397733128</v>
      </c>
      <c r="W25">
        <f t="shared" ref="W25" si="10">$P$5*(W24/$Q$5)</f>
        <v>445.37611408199638</v>
      </c>
      <c r="X25">
        <f t="shared" ref="X25" si="11">$P$5*(X24/$Q$5)</f>
        <v>389.40998615990628</v>
      </c>
      <c r="Y25">
        <f t="shared" ref="Y25:Z25" si="12">$P$5*(Y24/$Q$5)</f>
        <v>341.84860901444904</v>
      </c>
      <c r="Z25">
        <f t="shared" si="12"/>
        <v>301.39229710766881</v>
      </c>
      <c r="AA25">
        <f t="shared" ref="AA25" si="13">$P$5*(AA24/$Q$5)</f>
        <v>266.06765304438699</v>
      </c>
      <c r="AB25">
        <f t="shared" ref="AB25" si="14">$P$5*(AB24/$Q$5)</f>
        <v>235.16997033628124</v>
      </c>
      <c r="AC25">
        <f t="shared" ref="AC25" si="15">$P$5*(AC24/$Q$5)</f>
        <v>208.71301168162344</v>
      </c>
      <c r="AD25">
        <f t="shared" ref="AD25" si="16">$P$5*(AD24/$Q$5)</f>
        <v>186.17659114517534</v>
      </c>
      <c r="AE25">
        <f t="shared" ref="AE25" si="17">$P$5*(AE24/$Q$5)</f>
        <v>166.4843328959806</v>
      </c>
      <c r="AF25">
        <f t="shared" ref="AF25" si="18">$P$5*(AF24/$Q$5)</f>
        <v>149.16706815927446</v>
      </c>
      <c r="AG25">
        <f t="shared" ref="AG25" si="19">$P$5*(AG24/$Q$5)</f>
        <v>134.0085348506401</v>
      </c>
      <c r="AH25">
        <f t="shared" ref="AH25" si="20">$P$5*(AH24/$Q$5)</f>
        <v>120.77663916878373</v>
      </c>
      <c r="AI25">
        <f t="shared" ref="AI25" si="21">$P$5*(AI24/$Q$5)</f>
        <v>108.99760947050487</v>
      </c>
      <c r="AJ25">
        <f t="shared" ref="AJ25" si="22">$P$5*(AJ24/$Q$5)</f>
        <v>98.41122943996325</v>
      </c>
      <c r="AK25">
        <f t="shared" ref="AK25:AL25" si="23">$P$5*(AK24/$Q$5)</f>
        <v>89.037073268979</v>
      </c>
      <c r="AL25">
        <f t="shared" si="23"/>
        <v>80.661073148228226</v>
      </c>
      <c r="AM25">
        <f t="shared" ref="AM25" si="24">$P$5*(AM24/$Q$5)</f>
        <v>73.237932927005403</v>
      </c>
      <c r="AN25">
        <f t="shared" ref="AN25" si="25">$P$5*(AN24/$Q$5)</f>
        <v>66.661844484629299</v>
      </c>
      <c r="AO25">
        <f t="shared" ref="AO25" si="26">$P$5*(AO24/$Q$5)</f>
        <v>60.765878535002315</v>
      </c>
    </row>
    <row r="27" spans="1:41" x14ac:dyDescent="0.2">
      <c r="A27" s="4" t="s">
        <v>23</v>
      </c>
    </row>
    <row r="28" spans="1:41" x14ac:dyDescent="0.2">
      <c r="A28" t="s">
        <v>24</v>
      </c>
      <c r="B28">
        <v>0</v>
      </c>
      <c r="C28">
        <v>0.5</v>
      </c>
      <c r="D28">
        <v>1</v>
      </c>
      <c r="E28">
        <v>1.5</v>
      </c>
      <c r="F28">
        <v>2</v>
      </c>
      <c r="G28">
        <v>2.5</v>
      </c>
      <c r="H28">
        <v>3</v>
      </c>
      <c r="I28">
        <v>3.5</v>
      </c>
      <c r="J28">
        <v>4</v>
      </c>
      <c r="K28">
        <v>4.5</v>
      </c>
      <c r="L28">
        <v>5</v>
      </c>
    </row>
    <row r="29" spans="1:41" x14ac:dyDescent="0.2">
      <c r="A29" t="s">
        <v>21</v>
      </c>
      <c r="B29">
        <v>11</v>
      </c>
      <c r="C29">
        <v>29</v>
      </c>
      <c r="D29">
        <v>47</v>
      </c>
      <c r="E29">
        <v>65</v>
      </c>
      <c r="F29">
        <v>82</v>
      </c>
      <c r="G29">
        <v>100</v>
      </c>
      <c r="H29">
        <v>117</v>
      </c>
      <c r="I29">
        <v>134</v>
      </c>
      <c r="J29">
        <v>151</v>
      </c>
      <c r="K29">
        <v>167</v>
      </c>
      <c r="L29">
        <v>184</v>
      </c>
    </row>
    <row r="30" spans="1:41" x14ac:dyDescent="0.2">
      <c r="A30" s="5" t="s">
        <v>22</v>
      </c>
      <c r="B30">
        <f>$E$16*(B29/(B29+$E$17))</f>
        <v>0.2583170254403131</v>
      </c>
      <c r="C30">
        <f t="shared" ref="C30:L30" si="27">$E$16*(C29/(C29+$E$17))</f>
        <v>0.65784499054820422</v>
      </c>
      <c r="D30">
        <f t="shared" si="27"/>
        <v>1.0310786106032908</v>
      </c>
      <c r="E30">
        <f t="shared" si="27"/>
        <v>1.3805309734513274</v>
      </c>
      <c r="F30">
        <f t="shared" si="27"/>
        <v>1.6907216494845361</v>
      </c>
      <c r="G30">
        <f t="shared" si="27"/>
        <v>2</v>
      </c>
      <c r="H30">
        <f t="shared" si="27"/>
        <v>2.2755267423014587</v>
      </c>
      <c r="I30">
        <f t="shared" si="27"/>
        <v>2.5362776025236591</v>
      </c>
      <c r="J30">
        <f t="shared" si="27"/>
        <v>2.7834101382488479</v>
      </c>
      <c r="K30">
        <f t="shared" si="27"/>
        <v>3.004497751124438</v>
      </c>
      <c r="L30">
        <f t="shared" si="27"/>
        <v>3.2280701754385963</v>
      </c>
    </row>
    <row r="31" spans="1:41" x14ac:dyDescent="0.2">
      <c r="A31" t="s">
        <v>31</v>
      </c>
      <c r="B31">
        <f>$P$5*(B30/$Q$5)</f>
        <v>320.6262230919765</v>
      </c>
      <c r="C31">
        <f t="shared" ref="C31:L31" si="28">$P$5*(C30/$Q$5)</f>
        <v>816.52517614710439</v>
      </c>
      <c r="D31">
        <f t="shared" si="28"/>
        <v>1279.7872694033574</v>
      </c>
      <c r="E31">
        <f t="shared" si="28"/>
        <v>1713.5317779565567</v>
      </c>
      <c r="F31">
        <f t="shared" si="28"/>
        <v>2098.5442049359576</v>
      </c>
      <c r="G31">
        <f t="shared" si="28"/>
        <v>2482.4242424242425</v>
      </c>
      <c r="H31">
        <f t="shared" si="28"/>
        <v>2824.4113746869016</v>
      </c>
      <c r="I31">
        <f t="shared" si="28"/>
        <v>3148.0585030111843</v>
      </c>
      <c r="J31">
        <f t="shared" si="28"/>
        <v>3454.8024018991764</v>
      </c>
      <c r="K31">
        <f t="shared" si="28"/>
        <v>3729.2190268502118</v>
      </c>
      <c r="L31">
        <f t="shared" si="28"/>
        <v>4006.7198298777248</v>
      </c>
    </row>
    <row r="33" spans="1:26" x14ac:dyDescent="0.2">
      <c r="A33" s="4" t="s">
        <v>25</v>
      </c>
    </row>
    <row r="34" spans="1:26" x14ac:dyDescent="0.2">
      <c r="A34" t="s">
        <v>26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  <c r="J34">
        <v>9</v>
      </c>
      <c r="K34">
        <v>10</v>
      </c>
      <c r="L34">
        <v>11</v>
      </c>
      <c r="M34">
        <v>12</v>
      </c>
      <c r="N34">
        <v>13</v>
      </c>
      <c r="O34">
        <v>14</v>
      </c>
      <c r="P34">
        <v>15</v>
      </c>
      <c r="Q34" s="9">
        <v>16</v>
      </c>
      <c r="R34" s="9">
        <v>17</v>
      </c>
      <c r="S34" s="9">
        <v>18</v>
      </c>
      <c r="T34" s="9">
        <v>19</v>
      </c>
      <c r="U34" s="9">
        <v>20</v>
      </c>
      <c r="V34" s="9">
        <v>21</v>
      </c>
      <c r="W34" s="9">
        <v>22</v>
      </c>
      <c r="X34" s="9">
        <v>23</v>
      </c>
      <c r="Y34" s="9">
        <v>24</v>
      </c>
    </row>
    <row r="35" spans="1:26" x14ac:dyDescent="0.2">
      <c r="A35" t="s">
        <v>22</v>
      </c>
      <c r="B35">
        <f>B34/(($I$8/$I$9)+1)</f>
        <v>0.21465968586387435</v>
      </c>
      <c r="C35">
        <f t="shared" ref="C35:Y35" si="29">C34/(($I$8/$I$9)+1)</f>
        <v>0.4293193717277487</v>
      </c>
      <c r="D35">
        <f t="shared" si="29"/>
        <v>0.64397905759162311</v>
      </c>
      <c r="E35">
        <f t="shared" si="29"/>
        <v>0.8586387434554974</v>
      </c>
      <c r="F35">
        <f t="shared" si="29"/>
        <v>1.0732984293193717</v>
      </c>
      <c r="G35">
        <f t="shared" si="29"/>
        <v>1.2879581151832462</v>
      </c>
      <c r="H35">
        <f t="shared" si="29"/>
        <v>1.5026178010471205</v>
      </c>
      <c r="I35">
        <f t="shared" si="29"/>
        <v>1.7172774869109948</v>
      </c>
      <c r="J35">
        <f t="shared" si="29"/>
        <v>1.9319371727748693</v>
      </c>
      <c r="K35">
        <f t="shared" si="29"/>
        <v>2.1465968586387434</v>
      </c>
      <c r="L35">
        <f t="shared" si="29"/>
        <v>2.3612565445026181</v>
      </c>
      <c r="M35">
        <f t="shared" si="29"/>
        <v>2.5759162303664924</v>
      </c>
      <c r="N35">
        <f t="shared" si="29"/>
        <v>2.7905759162303667</v>
      </c>
      <c r="O35">
        <f t="shared" si="29"/>
        <v>3.005235602094241</v>
      </c>
      <c r="P35">
        <f t="shared" si="29"/>
        <v>3.2198952879581153</v>
      </c>
      <c r="Q35" s="9">
        <f t="shared" si="29"/>
        <v>3.4345549738219896</v>
      </c>
      <c r="R35" s="9">
        <f t="shared" si="29"/>
        <v>3.6492146596858639</v>
      </c>
      <c r="S35" s="9">
        <f t="shared" si="29"/>
        <v>3.8638743455497386</v>
      </c>
      <c r="T35" s="9">
        <f t="shared" si="29"/>
        <v>4.0785340314136125</v>
      </c>
      <c r="U35" s="9">
        <f t="shared" si="29"/>
        <v>4.2931937172774868</v>
      </c>
      <c r="V35" s="9">
        <f t="shared" si="29"/>
        <v>4.507853403141362</v>
      </c>
      <c r="W35" s="9">
        <f t="shared" si="29"/>
        <v>4.7225130890052363</v>
      </c>
      <c r="X35" s="9">
        <f t="shared" si="29"/>
        <v>4.9371727748691105</v>
      </c>
      <c r="Y35" s="9">
        <f t="shared" si="29"/>
        <v>5.1518324607329848</v>
      </c>
    </row>
    <row r="36" spans="1:26" x14ac:dyDescent="0.2">
      <c r="A36" t="s">
        <v>31</v>
      </c>
      <c r="B36">
        <f>$P$5*(B35/$Q$5)</f>
        <v>266.43820402982709</v>
      </c>
      <c r="C36">
        <f t="shared" ref="C36:Y36" si="30">$P$5*(C35/$Q$5)</f>
        <v>532.87640805965418</v>
      </c>
      <c r="D36">
        <f t="shared" si="30"/>
        <v>799.31461208948133</v>
      </c>
      <c r="E36">
        <f t="shared" si="30"/>
        <v>1065.7528161193084</v>
      </c>
      <c r="F36">
        <f t="shared" si="30"/>
        <v>1332.1910201491353</v>
      </c>
      <c r="G36">
        <f t="shared" si="30"/>
        <v>1598.6292241789627</v>
      </c>
      <c r="H36">
        <f t="shared" si="30"/>
        <v>1865.0674282087896</v>
      </c>
      <c r="I36">
        <f t="shared" si="30"/>
        <v>2131.5056322386167</v>
      </c>
      <c r="J36">
        <f t="shared" si="30"/>
        <v>2397.9438362684441</v>
      </c>
      <c r="K36">
        <f t="shared" si="30"/>
        <v>2664.3820402982706</v>
      </c>
      <c r="L36">
        <f t="shared" si="30"/>
        <v>2930.8202443280984</v>
      </c>
      <c r="M36">
        <f t="shared" si="30"/>
        <v>3197.2584483579253</v>
      </c>
      <c r="N36">
        <f t="shared" si="30"/>
        <v>3463.6966523877522</v>
      </c>
      <c r="O36">
        <f t="shared" si="30"/>
        <v>3730.1348564175792</v>
      </c>
      <c r="P36">
        <f t="shared" si="30"/>
        <v>3996.5730604474065</v>
      </c>
      <c r="Q36" s="9">
        <f t="shared" si="30"/>
        <v>4263.0112644772335</v>
      </c>
      <c r="R36" s="9">
        <f t="shared" si="30"/>
        <v>4529.4494685070604</v>
      </c>
      <c r="S36" s="9">
        <f t="shared" si="30"/>
        <v>4795.8876725368882</v>
      </c>
      <c r="T36" s="9">
        <f t="shared" si="30"/>
        <v>5062.3258765667142</v>
      </c>
      <c r="U36" s="9">
        <f t="shared" si="30"/>
        <v>5328.7640805965411</v>
      </c>
      <c r="V36" s="9">
        <f t="shared" si="30"/>
        <v>5595.2022846263699</v>
      </c>
      <c r="W36" s="9">
        <f t="shared" si="30"/>
        <v>5861.6404886561968</v>
      </c>
      <c r="X36" s="9">
        <f t="shared" si="30"/>
        <v>6128.0786926860237</v>
      </c>
      <c r="Y36" s="9">
        <f t="shared" si="30"/>
        <v>6394.5168967158506</v>
      </c>
    </row>
    <row r="38" spans="1:26" x14ac:dyDescent="0.2">
      <c r="A38" s="4" t="s">
        <v>30</v>
      </c>
    </row>
    <row r="39" spans="1:26" x14ac:dyDescent="0.2">
      <c r="A39" t="s">
        <v>26</v>
      </c>
      <c r="B39">
        <v>0</v>
      </c>
      <c r="C39">
        <v>0.5</v>
      </c>
      <c r="D39">
        <v>1</v>
      </c>
      <c r="E39">
        <v>1.5</v>
      </c>
      <c r="F39">
        <v>2</v>
      </c>
      <c r="G39">
        <v>2.5</v>
      </c>
      <c r="H39">
        <v>3</v>
      </c>
      <c r="I39">
        <v>3.5</v>
      </c>
      <c r="J39">
        <v>4</v>
      </c>
      <c r="K39">
        <v>4.5</v>
      </c>
      <c r="L39">
        <v>5</v>
      </c>
      <c r="M39">
        <v>5.5</v>
      </c>
      <c r="N39">
        <v>6</v>
      </c>
      <c r="O39">
        <v>6.5</v>
      </c>
      <c r="P39">
        <v>7</v>
      </c>
      <c r="Q39">
        <v>7.5</v>
      </c>
      <c r="R39">
        <v>8</v>
      </c>
      <c r="S39">
        <v>8.5</v>
      </c>
      <c r="T39">
        <v>9</v>
      </c>
      <c r="U39">
        <v>9.5</v>
      </c>
      <c r="V39">
        <v>10</v>
      </c>
      <c r="W39">
        <v>10.5</v>
      </c>
      <c r="X39">
        <v>11</v>
      </c>
      <c r="Y39">
        <v>11.5</v>
      </c>
      <c r="Z39">
        <v>12</v>
      </c>
    </row>
    <row r="40" spans="1:26" x14ac:dyDescent="0.2">
      <c r="A40" t="s">
        <v>22</v>
      </c>
      <c r="B40">
        <f>B39*($I$9/($I$8+$I$9))</f>
        <v>0</v>
      </c>
      <c r="C40">
        <f t="shared" ref="C40:M40" si="31">C39*($I$9/($I$8+$I$9))</f>
        <v>0.10732984293193717</v>
      </c>
      <c r="D40">
        <f t="shared" si="31"/>
        <v>0.21465968586387435</v>
      </c>
      <c r="E40">
        <f t="shared" si="31"/>
        <v>0.32198952879581155</v>
      </c>
      <c r="F40">
        <f t="shared" si="31"/>
        <v>0.4293193717277487</v>
      </c>
      <c r="G40">
        <f t="shared" si="31"/>
        <v>0.53664921465968585</v>
      </c>
      <c r="H40">
        <f t="shared" si="31"/>
        <v>0.64397905759162311</v>
      </c>
      <c r="I40">
        <f t="shared" si="31"/>
        <v>0.75130890052356025</v>
      </c>
      <c r="J40">
        <f t="shared" si="31"/>
        <v>0.8586387434554974</v>
      </c>
      <c r="K40">
        <f t="shared" si="31"/>
        <v>0.96596858638743455</v>
      </c>
      <c r="L40">
        <f t="shared" si="31"/>
        <v>1.0732984293193717</v>
      </c>
      <c r="M40">
        <f t="shared" si="31"/>
        <v>1.1806282722513088</v>
      </c>
      <c r="N40">
        <f t="shared" ref="N40" si="32">N39*($I$9/($I$8+$I$9))</f>
        <v>1.2879581151832462</v>
      </c>
      <c r="O40">
        <f t="shared" ref="O40" si="33">O39*($I$9/($I$8+$I$9))</f>
        <v>1.3952879581151834</v>
      </c>
      <c r="P40">
        <f t="shared" ref="P40" si="34">P39*($I$9/($I$8+$I$9))</f>
        <v>1.5026178010471205</v>
      </c>
      <c r="Q40">
        <f t="shared" ref="Q40" si="35">Q39*($I$9/($I$8+$I$9))</f>
        <v>1.6099476439790577</v>
      </c>
      <c r="R40">
        <f t="shared" ref="R40" si="36">R39*($I$9/($I$8+$I$9))</f>
        <v>1.7172774869109948</v>
      </c>
      <c r="S40">
        <f t="shared" ref="S40" si="37">S39*($I$9/($I$8+$I$9))</f>
        <v>1.8246073298429319</v>
      </c>
      <c r="T40">
        <f t="shared" ref="T40" si="38">T39*($I$9/($I$8+$I$9))</f>
        <v>1.9319371727748691</v>
      </c>
      <c r="U40">
        <f t="shared" ref="U40" si="39">U39*($I$9/($I$8+$I$9))</f>
        <v>2.0392670157068062</v>
      </c>
      <c r="V40">
        <f t="shared" ref="V40" si="40">V39*($I$9/($I$8+$I$9))</f>
        <v>2.1465968586387434</v>
      </c>
      <c r="W40">
        <f t="shared" ref="W40:X40" si="41">W39*($I$9/($I$8+$I$9))</f>
        <v>2.2539267015706805</v>
      </c>
      <c r="X40">
        <f t="shared" si="41"/>
        <v>2.3612565445026177</v>
      </c>
      <c r="Y40">
        <f t="shared" ref="Y40" si="42">Y39*($I$9/($I$8+$I$9))</f>
        <v>2.4685863874345548</v>
      </c>
      <c r="Z40">
        <f t="shared" ref="Z40" si="43">Z39*($I$9/($I$8+$I$9))</f>
        <v>2.5759162303664924</v>
      </c>
    </row>
    <row r="41" spans="1:26" x14ac:dyDescent="0.2">
      <c r="A41" t="s">
        <v>31</v>
      </c>
      <c r="B41">
        <f>$P$5*(B40/$Q$5)</f>
        <v>0</v>
      </c>
      <c r="C41">
        <f t="shared" ref="C41:Z41" si="44">$P$5*(C40/$Q$5)</f>
        <v>133.21910201491355</v>
      </c>
      <c r="D41">
        <f t="shared" si="44"/>
        <v>266.43820402982709</v>
      </c>
      <c r="E41">
        <f t="shared" si="44"/>
        <v>399.65730604474066</v>
      </c>
      <c r="F41">
        <f t="shared" si="44"/>
        <v>532.87640805965418</v>
      </c>
      <c r="G41">
        <f t="shared" si="44"/>
        <v>666.09551007456764</v>
      </c>
      <c r="H41">
        <f t="shared" si="44"/>
        <v>799.31461208948133</v>
      </c>
      <c r="I41">
        <f t="shared" si="44"/>
        <v>932.53371410439479</v>
      </c>
      <c r="J41">
        <f t="shared" si="44"/>
        <v>1065.7528161193084</v>
      </c>
      <c r="K41">
        <f t="shared" si="44"/>
        <v>1198.9719181342218</v>
      </c>
      <c r="L41">
        <f t="shared" si="44"/>
        <v>1332.1910201491353</v>
      </c>
      <c r="M41">
        <f t="shared" si="44"/>
        <v>1465.410122164049</v>
      </c>
      <c r="N41">
        <f t="shared" si="44"/>
        <v>1598.6292241789627</v>
      </c>
      <c r="O41">
        <f t="shared" si="44"/>
        <v>1731.8483261938761</v>
      </c>
      <c r="P41">
        <f t="shared" si="44"/>
        <v>1865.0674282087896</v>
      </c>
      <c r="Q41">
        <f t="shared" si="44"/>
        <v>1998.2865302237033</v>
      </c>
      <c r="R41">
        <f t="shared" si="44"/>
        <v>2131.5056322386167</v>
      </c>
      <c r="S41">
        <f t="shared" si="44"/>
        <v>2264.7247342535302</v>
      </c>
      <c r="T41">
        <f t="shared" si="44"/>
        <v>2397.9438362684436</v>
      </c>
      <c r="U41">
        <f t="shared" si="44"/>
        <v>2531.1629382833571</v>
      </c>
      <c r="V41">
        <f t="shared" si="44"/>
        <v>2664.3820402982706</v>
      </c>
      <c r="W41">
        <f t="shared" si="44"/>
        <v>2797.601142313184</v>
      </c>
      <c r="X41">
        <f t="shared" si="44"/>
        <v>2930.8202443280979</v>
      </c>
      <c r="Y41">
        <f t="shared" si="44"/>
        <v>3064.0393463430114</v>
      </c>
      <c r="Z41">
        <f t="shared" si="44"/>
        <v>3197.2584483579253</v>
      </c>
    </row>
  </sheetData>
  <mergeCells count="8">
    <mergeCell ref="L6:M6"/>
    <mergeCell ref="L7:M7"/>
    <mergeCell ref="L8:M8"/>
    <mergeCell ref="B17:C17"/>
    <mergeCell ref="E17:F17"/>
    <mergeCell ref="I8:J8"/>
    <mergeCell ref="I7:J7"/>
    <mergeCell ref="I6:J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7150-F767-4758-A01E-C08FDAA2E265}">
  <dimension ref="A1:AO15"/>
  <sheetViews>
    <sheetView workbookViewId="0">
      <selection activeCell="B15" sqref="B15"/>
    </sheetView>
  </sheetViews>
  <sheetFormatPr baseColWidth="10" defaultRowHeight="15" x14ac:dyDescent="0.2"/>
  <sheetData>
    <row r="1" spans="1:41" x14ac:dyDescent="0.2">
      <c r="A1" t="s">
        <v>27</v>
      </c>
    </row>
    <row r="2" spans="1:41" x14ac:dyDescent="0.2">
      <c r="A2" t="s">
        <v>28</v>
      </c>
      <c r="B2" t="s">
        <v>29</v>
      </c>
    </row>
    <row r="3" spans="1:41" x14ac:dyDescent="0.2">
      <c r="A3">
        <v>4096</v>
      </c>
      <c r="B3">
        <v>4</v>
      </c>
    </row>
    <row r="4" spans="1:41" x14ac:dyDescent="0.2">
      <c r="A4">
        <f>A3*B4/B3</f>
        <v>3379.2</v>
      </c>
      <c r="B4">
        <v>3.3</v>
      </c>
    </row>
    <row r="5" spans="1:41" x14ac:dyDescent="0.2">
      <c r="A5">
        <f t="shared" ref="A5:A8" si="0">A4*B5/B4</f>
        <v>2048</v>
      </c>
      <c r="B5">
        <v>2</v>
      </c>
    </row>
    <row r="6" spans="1:41" x14ac:dyDescent="0.2">
      <c r="A6">
        <f t="shared" si="0"/>
        <v>1024</v>
      </c>
      <c r="B6">
        <v>1</v>
      </c>
    </row>
    <row r="7" spans="1:41" x14ac:dyDescent="0.2">
      <c r="A7">
        <f t="shared" si="0"/>
        <v>512</v>
      </c>
      <c r="B7">
        <v>0.5</v>
      </c>
    </row>
    <row r="8" spans="1:41" x14ac:dyDescent="0.2">
      <c r="A8">
        <f t="shared" si="0"/>
        <v>0</v>
      </c>
      <c r="B8">
        <v>0</v>
      </c>
    </row>
    <row r="13" spans="1:41" x14ac:dyDescent="0.2">
      <c r="A13" t="s">
        <v>20</v>
      </c>
      <c r="B13">
        <v>-15</v>
      </c>
      <c r="C13">
        <v>-10</v>
      </c>
      <c r="D13">
        <v>-5</v>
      </c>
      <c r="E13">
        <v>0</v>
      </c>
      <c r="F13">
        <v>5</v>
      </c>
      <c r="G13">
        <v>10</v>
      </c>
      <c r="H13">
        <v>15</v>
      </c>
      <c r="I13">
        <v>20</v>
      </c>
      <c r="J13">
        <v>25</v>
      </c>
      <c r="K13">
        <v>30</v>
      </c>
      <c r="L13">
        <v>35</v>
      </c>
      <c r="M13">
        <v>40</v>
      </c>
      <c r="N13">
        <v>45</v>
      </c>
      <c r="O13">
        <v>50</v>
      </c>
      <c r="P13">
        <v>55</v>
      </c>
      <c r="Q13">
        <v>60</v>
      </c>
      <c r="R13">
        <v>65</v>
      </c>
      <c r="S13">
        <v>70</v>
      </c>
      <c r="T13">
        <v>75</v>
      </c>
      <c r="U13">
        <v>80</v>
      </c>
      <c r="V13">
        <v>85</v>
      </c>
      <c r="W13">
        <v>90</v>
      </c>
      <c r="X13">
        <v>95</v>
      </c>
      <c r="Y13">
        <v>100</v>
      </c>
      <c r="Z13">
        <v>105</v>
      </c>
      <c r="AA13">
        <v>110</v>
      </c>
      <c r="AB13">
        <v>115</v>
      </c>
      <c r="AC13">
        <v>120</v>
      </c>
      <c r="AD13">
        <v>125</v>
      </c>
      <c r="AE13">
        <v>130</v>
      </c>
      <c r="AF13">
        <v>135</v>
      </c>
      <c r="AG13">
        <v>140</v>
      </c>
      <c r="AH13">
        <v>145</v>
      </c>
      <c r="AI13">
        <v>150</v>
      </c>
      <c r="AJ13">
        <v>155</v>
      </c>
      <c r="AK13">
        <v>160</v>
      </c>
      <c r="AL13">
        <v>165</v>
      </c>
      <c r="AM13">
        <v>170</v>
      </c>
      <c r="AN13">
        <v>175</v>
      </c>
      <c r="AO13">
        <v>180</v>
      </c>
    </row>
    <row r="14" spans="1:41" x14ac:dyDescent="0.2">
      <c r="A14" t="s">
        <v>21</v>
      </c>
      <c r="B14">
        <v>7721.35</v>
      </c>
      <c r="C14">
        <v>5720.88</v>
      </c>
      <c r="D14">
        <v>4284.03</v>
      </c>
      <c r="E14">
        <v>3240.18</v>
      </c>
      <c r="F14">
        <v>2473.6</v>
      </c>
      <c r="G14">
        <v>1905.87</v>
      </c>
      <c r="H14">
        <v>1404.44</v>
      </c>
      <c r="I14">
        <v>1168.6400000000001</v>
      </c>
      <c r="J14">
        <v>926.71</v>
      </c>
      <c r="K14">
        <v>739.98</v>
      </c>
      <c r="L14">
        <v>594.9</v>
      </c>
      <c r="M14">
        <v>481.52</v>
      </c>
      <c r="N14">
        <v>392.57</v>
      </c>
      <c r="O14">
        <v>322.17</v>
      </c>
      <c r="P14">
        <v>266.19</v>
      </c>
      <c r="Q14">
        <v>221.17</v>
      </c>
      <c r="R14">
        <v>184.72</v>
      </c>
      <c r="S14">
        <v>155.29</v>
      </c>
      <c r="T14">
        <v>131.38</v>
      </c>
      <c r="U14">
        <v>112.08</v>
      </c>
      <c r="V14">
        <v>96.4</v>
      </c>
      <c r="W14">
        <v>82.96</v>
      </c>
      <c r="X14">
        <v>71.44</v>
      </c>
      <c r="Y14">
        <v>61.92</v>
      </c>
      <c r="Z14">
        <v>54.01</v>
      </c>
      <c r="AA14">
        <v>47.24</v>
      </c>
      <c r="AB14">
        <v>41.42</v>
      </c>
      <c r="AC14">
        <v>36.51</v>
      </c>
      <c r="AD14">
        <v>32.380000000000003</v>
      </c>
      <c r="AE14">
        <v>28.81</v>
      </c>
      <c r="AF14">
        <v>25.7</v>
      </c>
      <c r="AG14">
        <v>23</v>
      </c>
      <c r="AH14">
        <v>20.66</v>
      </c>
      <c r="AI14">
        <v>18.59</v>
      </c>
      <c r="AJ14">
        <v>16.739999999999998</v>
      </c>
      <c r="AK14">
        <v>15.11</v>
      </c>
      <c r="AL14">
        <v>13.66</v>
      </c>
      <c r="AM14">
        <v>12.38</v>
      </c>
      <c r="AN14">
        <v>11.25</v>
      </c>
      <c r="AO14">
        <v>10.24</v>
      </c>
    </row>
    <row r="15" spans="1:41" x14ac:dyDescent="0.2">
      <c r="A15" s="5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Rodewald</dc:creator>
  <cp:lastModifiedBy>Jan Niklas Rodewald</cp:lastModifiedBy>
  <dcterms:created xsi:type="dcterms:W3CDTF">2024-08-23T07:34:31Z</dcterms:created>
  <dcterms:modified xsi:type="dcterms:W3CDTF">2026-01-10T16:45:51Z</dcterms:modified>
</cp:coreProperties>
</file>